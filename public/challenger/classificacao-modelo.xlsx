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7582017\Desktop\Provas\"/>
    </mc:Choice>
  </mc:AlternateContent>
  <xr:revisionPtr revIDLastSave="0" documentId="13_ncr:1_{87F79D20-08A0-46C2-9275-BA8586D398CC}" xr6:coauthVersionLast="47" xr6:coauthVersionMax="47" xr10:uidLastSave="{00000000-0000-0000-0000-000000000000}"/>
  <bookViews>
    <workbookView xWindow="-120" yWindow="-120" windowWidth="29040" windowHeight="15720" activeTab="1" xr2:uid="{B80EA2AB-C55C-4EA2-9A7F-595FBF73E25E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" i="2" l="1"/>
  <c r="U9" i="2"/>
  <c r="V9" i="2" s="1"/>
  <c r="V6" i="2"/>
  <c r="V7" i="2"/>
  <c r="V8" i="2"/>
  <c r="V10" i="2"/>
  <c r="V11" i="2"/>
  <c r="V12" i="2"/>
  <c r="V13" i="2"/>
  <c r="V14" i="2"/>
  <c r="V5" i="2"/>
  <c r="U6" i="2"/>
  <c r="U7" i="2"/>
  <c r="U8" i="2"/>
  <c r="U10" i="2"/>
  <c r="U11" i="2"/>
  <c r="U12" i="2"/>
  <c r="U13" i="2"/>
  <c r="U14" i="2"/>
  <c r="U5" i="2"/>
  <c r="J6" i="2"/>
  <c r="J7" i="2"/>
  <c r="K7" i="2" s="1"/>
  <c r="J8" i="2"/>
  <c r="K8" i="2" s="1"/>
  <c r="J9" i="2"/>
  <c r="K9" i="2" s="1"/>
  <c r="J10" i="2"/>
  <c r="K10" i="2" s="1"/>
  <c r="J11" i="2"/>
  <c r="K11" i="2" s="1"/>
  <c r="K13" i="2"/>
  <c r="J14" i="2"/>
  <c r="H6" i="2"/>
  <c r="H7" i="2"/>
  <c r="I7" i="2" s="1"/>
  <c r="H8" i="2"/>
  <c r="H9" i="2"/>
  <c r="H10" i="2"/>
  <c r="H11" i="2"/>
  <c r="I11" i="2" s="1"/>
  <c r="H12" i="2"/>
  <c r="I13" i="2"/>
  <c r="H14" i="2"/>
  <c r="H5" i="2"/>
  <c r="I5" i="2" s="1"/>
  <c r="K12" i="2"/>
  <c r="J5" i="2"/>
  <c r="K5" i="2" s="1"/>
  <c r="I8" i="2"/>
  <c r="I9" i="2"/>
  <c r="I10" i="2"/>
  <c r="I12" i="2"/>
  <c r="I14" i="2"/>
  <c r="E6" i="2"/>
  <c r="E7" i="2"/>
  <c r="E8" i="2"/>
  <c r="E9" i="2"/>
  <c r="E10" i="2"/>
  <c r="S6" i="2"/>
  <c r="S7" i="2"/>
  <c r="S8" i="2"/>
  <c r="S9" i="2"/>
  <c r="S10" i="2"/>
  <c r="S11" i="2"/>
  <c r="S12" i="2"/>
  <c r="S13" i="2"/>
  <c r="S14" i="2"/>
  <c r="Q6" i="2"/>
  <c r="Q7" i="2"/>
  <c r="Q8" i="2"/>
  <c r="Q9" i="2"/>
  <c r="Q10" i="2"/>
  <c r="Q11" i="2"/>
  <c r="Q12" i="2"/>
  <c r="Q13" i="2"/>
  <c r="Q14" i="2"/>
  <c r="O6" i="2"/>
  <c r="O7" i="2"/>
  <c r="O8" i="2"/>
  <c r="O9" i="2"/>
  <c r="O10" i="2"/>
  <c r="O11" i="2"/>
  <c r="O12" i="2"/>
  <c r="O13" i="2"/>
  <c r="O14" i="2"/>
  <c r="S5" i="2"/>
  <c r="Q5" i="2"/>
  <c r="O5" i="2"/>
  <c r="M6" i="2"/>
  <c r="M7" i="2"/>
  <c r="M8" i="2"/>
  <c r="M9" i="2"/>
  <c r="M10" i="2"/>
  <c r="M11" i="2"/>
  <c r="M12" i="2"/>
  <c r="M13" i="2"/>
  <c r="M14" i="2"/>
  <c r="K6" i="2"/>
  <c r="K14" i="2"/>
  <c r="I6" i="2"/>
  <c r="G6" i="2"/>
  <c r="G7" i="2"/>
  <c r="G8" i="2"/>
  <c r="G9" i="2"/>
  <c r="G10" i="2"/>
  <c r="G11" i="2"/>
  <c r="G12" i="2"/>
  <c r="G13" i="2"/>
  <c r="G14" i="2"/>
  <c r="M5" i="2"/>
  <c r="G5" i="2"/>
  <c r="T14" i="2" l="1"/>
  <c r="T12" i="2"/>
  <c r="T11" i="2"/>
  <c r="T10" i="2"/>
  <c r="T9" i="2"/>
  <c r="T8" i="2"/>
  <c r="T13" i="2"/>
  <c r="T7" i="2"/>
  <c r="T6" i="2"/>
  <c r="T5" i="2"/>
  <c r="Z13" i="2"/>
  <c r="Z9" i="2"/>
  <c r="Z11" i="2"/>
  <c r="Z7" i="2"/>
  <c r="Z12" i="2"/>
  <c r="Z8" i="2"/>
  <c r="Z14" i="2"/>
  <c r="Z10" i="2"/>
  <c r="W8" i="2" l="1"/>
  <c r="W12" i="2"/>
  <c r="W5" i="2"/>
  <c r="W14" i="2"/>
  <c r="W11" i="2"/>
  <c r="W9" i="2"/>
  <c r="W13" i="2"/>
  <c r="W10" i="2"/>
  <c r="W7" i="2"/>
  <c r="W6" i="2"/>
  <c r="Z6" i="2"/>
  <c r="AA10" i="2" l="1"/>
  <c r="AA5" i="2"/>
  <c r="AA13" i="2"/>
  <c r="AA14" i="2"/>
  <c r="AA7" i="2"/>
  <c r="AA11" i="2"/>
  <c r="AA12" i="2"/>
  <c r="AA8" i="2"/>
  <c r="AA9" i="2"/>
  <c r="AA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ten gomes.vjp</author>
  </authors>
  <commentList>
    <comment ref="D5" authorId="0" shapeId="0" xr:uid="{B34BAB8F-B9A1-4980-BA2F-DC6F4B37E0C4}">
      <text>
        <r>
          <rPr>
            <b/>
            <sz val="9"/>
            <color indexed="81"/>
            <rFont val="Tahoma"/>
            <charset val="1"/>
          </rPr>
          <t>ten gomes.vjp:</t>
        </r>
        <r>
          <rPr>
            <sz val="9"/>
            <color indexed="81"/>
            <rFont val="Tahoma"/>
            <charset val="1"/>
          </rPr>
          <t xml:space="preserve">
01:18:00
-30seg
</t>
        </r>
      </text>
    </comment>
    <comment ref="D11" authorId="0" shapeId="0" xr:uid="{A5257236-21D7-4DFA-BC1B-6A58FC03A22D}">
      <text>
        <r>
          <rPr>
            <b/>
            <sz val="9"/>
            <color indexed="81"/>
            <rFont val="Tahoma"/>
            <charset val="1"/>
          </rPr>
          <t>ten gomes.vjp:</t>
        </r>
        <r>
          <rPr>
            <sz val="9"/>
            <color indexed="81"/>
            <rFont val="Tahoma"/>
            <charset val="1"/>
          </rPr>
          <t xml:space="preserve">
02:09:00
-10MIN
-26MIN
</t>
        </r>
      </text>
    </comment>
    <comment ref="D12" authorId="0" shapeId="0" xr:uid="{674B6E8D-E02B-4F28-B7B8-E9DC439FFF0C}">
      <text>
        <r>
          <rPr>
            <b/>
            <sz val="9"/>
            <color indexed="81"/>
            <rFont val="Tahoma"/>
            <charset val="1"/>
          </rPr>
          <t>ten gomes.vjp:</t>
        </r>
        <r>
          <rPr>
            <sz val="9"/>
            <color indexed="81"/>
            <rFont val="Tahoma"/>
            <charset val="1"/>
          </rPr>
          <t xml:space="preserve">
01:29:00
-24MIN
+13MIN
</t>
        </r>
      </text>
    </comment>
    <comment ref="E13" authorId="0" shapeId="0" xr:uid="{4944DAD9-CE36-445B-BECF-12251CCD1775}">
      <text>
        <r>
          <rPr>
            <b/>
            <sz val="9"/>
            <color indexed="81"/>
            <rFont val="Tahoma"/>
            <charset val="1"/>
          </rPr>
          <t>ten gomes.vjp:</t>
        </r>
        <r>
          <rPr>
            <sz val="9"/>
            <color indexed="81"/>
            <rFont val="Tahoma"/>
            <charset val="1"/>
          </rPr>
          <t xml:space="preserve">
00:47:00
+23min
</t>
        </r>
      </text>
    </comment>
    <comment ref="D14" authorId="0" shapeId="0" xr:uid="{FA091F90-3A4A-4A53-802A-817DC904525F}">
      <text>
        <r>
          <rPr>
            <b/>
            <sz val="9"/>
            <color indexed="81"/>
            <rFont val="Tahoma"/>
            <charset val="1"/>
          </rPr>
          <t>ten gomes.vjp:</t>
        </r>
        <r>
          <rPr>
            <sz val="9"/>
            <color indexed="81"/>
            <rFont val="Tahoma"/>
            <charset val="1"/>
          </rPr>
          <t xml:space="preserve">
01:24:00
-1min
</t>
        </r>
      </text>
    </comment>
  </commentList>
</comments>
</file>

<file path=xl/sharedStrings.xml><?xml version="1.0" encoding="utf-8"?>
<sst xmlns="http://schemas.openxmlformats.org/spreadsheetml/2006/main" count="76" uniqueCount="39">
  <si>
    <t xml:space="preserve">Inicio </t>
  </si>
  <si>
    <t xml:space="preserve">Prespetiva de fim </t>
  </si>
  <si>
    <t>Prova técnica CC</t>
  </si>
  <si>
    <t>Pista de Guarnição</t>
  </si>
  <si>
    <t>Realizam pista dia 18</t>
  </si>
  <si>
    <t>Entre as 13:00 e as 16:00 colocar CC no local da pista de guarnição</t>
  </si>
  <si>
    <t xml:space="preserve">Hora de inicio </t>
  </si>
  <si>
    <t xml:space="preserve">Hora de fim </t>
  </si>
  <si>
    <t>Tempo Total de prova</t>
  </si>
  <si>
    <t>Estação 1.1</t>
  </si>
  <si>
    <t>Estação 1.2</t>
  </si>
  <si>
    <t>Estação 1.3</t>
  </si>
  <si>
    <t>Estação 1.4</t>
  </si>
  <si>
    <t>Estação 2</t>
  </si>
  <si>
    <t>Estação 3</t>
  </si>
  <si>
    <t>Estação 4</t>
  </si>
  <si>
    <t xml:space="preserve">Pontos obtidos </t>
  </si>
  <si>
    <t xml:space="preserve">Penalização </t>
  </si>
  <si>
    <t>Estações</t>
  </si>
  <si>
    <t>Pista</t>
  </si>
  <si>
    <t xml:space="preserve">Tempo </t>
  </si>
  <si>
    <t>Tempo Real</t>
  </si>
  <si>
    <t xml:space="preserve">Classificação Provisoria </t>
  </si>
  <si>
    <t>Tempo de Penalização
(Minutos)</t>
  </si>
  <si>
    <t>Tempo Final de Prova</t>
  </si>
  <si>
    <t>Pontos penalização</t>
  </si>
  <si>
    <t>Classificação</t>
  </si>
  <si>
    <t>Classificação Final</t>
  </si>
  <si>
    <t xml:space="preserve">Equipa </t>
  </si>
  <si>
    <t>Delta 4</t>
  </si>
  <si>
    <t>Delta 1</t>
  </si>
  <si>
    <t>Delta 2</t>
  </si>
  <si>
    <t>Delta 3</t>
  </si>
  <si>
    <t>Falcão 1</t>
  </si>
  <si>
    <t>Cegonha</t>
  </si>
  <si>
    <t>Falcão 4</t>
  </si>
  <si>
    <t>Fênix</t>
  </si>
  <si>
    <t>Falcão 2</t>
  </si>
  <si>
    <t>Falcão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</si>
</sst>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h:mm;@"/>
    <numFmt numFmtId="166" formatCode="h:mm:ss;@"/>
    <numFmt numFmtId="167" formatCode="0\º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Border="1" applyAlignment="1"/>
    <xf numFmtId="164" fontId="0" fillId="0" borderId="0" xfId="0" applyNumberFormat="1" applyAlignment="1"/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3" xfId="0" applyFill="1" applyBorder="1" applyAlignment="1">
      <alignment horizontal="center"/>
    </xf>
    <xf numFmtId="165" fontId="0" fillId="0" borderId="5" xfId="0" applyNumberFormat="1" applyBorder="1"/>
    <xf numFmtId="165" fontId="0" fillId="0" borderId="7" xfId="0" applyNumberFormat="1" applyBorder="1"/>
    <xf numFmtId="165" fontId="0" fillId="2" borderId="2" xfId="0" applyNumberFormat="1" applyFill="1" applyBorder="1"/>
    <xf numFmtId="165" fontId="0" fillId="2" borderId="5" xfId="0" applyNumberFormat="1" applyFill="1" applyBorder="1"/>
    <xf numFmtId="165" fontId="0" fillId="2" borderId="7" xfId="0" applyNumberForma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0" borderId="0" xfId="0" applyAlignment="1"/>
    <xf numFmtId="164" fontId="0" fillId="3" borderId="5" xfId="0" applyNumberFormat="1" applyFill="1" applyBorder="1"/>
    <xf numFmtId="164" fontId="0" fillId="0" borderId="6" xfId="0" applyNumberFormat="1" applyBorder="1"/>
    <xf numFmtId="164" fontId="0" fillId="3" borderId="7" xfId="0" applyNumberFormat="1" applyFill="1" applyBorder="1"/>
    <xf numFmtId="0" fontId="0" fillId="3" borderId="8" xfId="0" applyFill="1" applyBorder="1"/>
    <xf numFmtId="164" fontId="0" fillId="0" borderId="9" xfId="0" applyNumberFormat="1" applyBorder="1"/>
    <xf numFmtId="0" fontId="0" fillId="3" borderId="5" xfId="0" applyFill="1" applyBorder="1"/>
    <xf numFmtId="1" fontId="0" fillId="0" borderId="6" xfId="0" applyNumberFormat="1" applyBorder="1"/>
    <xf numFmtId="0" fontId="0" fillId="3" borderId="7" xfId="0" applyFill="1" applyBorder="1"/>
    <xf numFmtId="1" fontId="0" fillId="0" borderId="8" xfId="0" applyNumberFormat="1" applyBorder="1"/>
    <xf numFmtId="1" fontId="0" fillId="0" borderId="9" xfId="0" applyNumberFormat="1" applyBorder="1"/>
    <xf numFmtId="0" fontId="2" fillId="0" borderId="13" xfId="0" applyFont="1" applyBorder="1" applyAlignment="1">
      <alignment horizontal="center" vertical="center"/>
    </xf>
    <xf numFmtId="1" fontId="0" fillId="0" borderId="5" xfId="0" applyNumberFormat="1" applyBorder="1"/>
    <xf numFmtId="1" fontId="0" fillId="0" borderId="7" xfId="0" applyNumberFormat="1" applyBorder="1"/>
    <xf numFmtId="164" fontId="0" fillId="0" borderId="8" xfId="0" applyNumberFormat="1" applyBorder="1"/>
    <xf numFmtId="21" fontId="0" fillId="3" borderId="5" xfId="0" applyNumberFormat="1" applyFill="1" applyBorder="1"/>
    <xf numFmtId="0" fontId="0" fillId="3" borderId="6" xfId="0" applyFill="1" applyBorder="1"/>
    <xf numFmtId="21" fontId="0" fillId="3" borderId="7" xfId="0" applyNumberFormat="1" applyFill="1" applyBorder="1"/>
    <xf numFmtId="0" fontId="0" fillId="3" borderId="9" xfId="0" applyFill="1" applyBorder="1"/>
    <xf numFmtId="164" fontId="0" fillId="0" borderId="5" xfId="0" applyNumberFormat="1" applyBorder="1"/>
    <xf numFmtId="164" fontId="0" fillId="0" borderId="7" xfId="0" applyNumberFormat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6" fontId="0" fillId="3" borderId="1" xfId="0" applyNumberFormat="1" applyFill="1" applyBorder="1"/>
    <xf numFmtId="166" fontId="0" fillId="3" borderId="8" xfId="0" applyNumberFormat="1" applyFill="1" applyBorder="1"/>
    <xf numFmtId="21" fontId="0" fillId="0" borderId="0" xfId="0" applyNumberFormat="1"/>
    <xf numFmtId="0" fontId="2" fillId="0" borderId="2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4" fontId="2" fillId="0" borderId="18" xfId="0" applyNumberFormat="1" applyFont="1" applyFill="1" applyBorder="1" applyAlignment="1">
      <alignment horizontal="center" vertical="center" wrapText="1"/>
    </xf>
    <xf numFmtId="164" fontId="2" fillId="0" borderId="26" xfId="0" applyNumberFormat="1" applyFont="1" applyFill="1" applyBorder="1" applyAlignment="1">
      <alignment horizontal="center" vertical="center" wrapText="1"/>
    </xf>
    <xf numFmtId="164" fontId="2" fillId="0" borderId="25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164" fontId="0" fillId="3" borderId="2" xfId="0" applyNumberFormat="1" applyFill="1" applyBorder="1"/>
    <xf numFmtId="164" fontId="0" fillId="3" borderId="3" xfId="0" applyNumberFormat="1" applyFill="1" applyBorder="1"/>
    <xf numFmtId="164" fontId="0" fillId="0" borderId="4" xfId="0" applyNumberFormat="1" applyBorder="1"/>
    <xf numFmtId="0" fontId="0" fillId="3" borderId="2" xfId="0" applyFill="1" applyBorder="1"/>
    <xf numFmtId="1" fontId="0" fillId="0" borderId="3" xfId="0" applyNumberFormat="1" applyBorder="1"/>
    <xf numFmtId="0" fontId="0" fillId="3" borderId="3" xfId="0" applyFill="1" applyBorder="1"/>
    <xf numFmtId="1" fontId="0" fillId="0" borderId="4" xfId="0" applyNumberFormat="1" applyBorder="1"/>
    <xf numFmtId="1" fontId="0" fillId="0" borderId="2" xfId="0" applyNumberFormat="1" applyBorder="1"/>
    <xf numFmtId="164" fontId="0" fillId="0" borderId="3" xfId="0" applyNumberFormat="1" applyBorder="1"/>
    <xf numFmtId="21" fontId="0" fillId="3" borderId="2" xfId="0" applyNumberFormat="1" applyFill="1" applyBorder="1"/>
    <xf numFmtId="0" fontId="0" fillId="3" borderId="4" xfId="0" applyFill="1" applyBorder="1"/>
    <xf numFmtId="164" fontId="0" fillId="0" borderId="2" xfId="0" applyNumberFormat="1" applyBorder="1"/>
    <xf numFmtId="167" fontId="0" fillId="0" borderId="4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7" fontId="0" fillId="0" borderId="4" xfId="0" applyNumberFormat="1" applyBorder="1"/>
    <xf numFmtId="167" fontId="0" fillId="0" borderId="6" xfId="0" applyNumberFormat="1" applyBorder="1"/>
    <xf numFmtId="167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8663-5CB7-408D-AF01-1F86B7FA6182}">
  <dimension ref="G2:S19"/>
  <sheetViews>
    <sheetView workbookViewId="0">
      <selection activeCell="P29" sqref="P29"/>
    </sheetView>
  </sheetViews>
  <sheetFormatPr defaultRowHeight="15" x14ac:dyDescent="0.25"/>
  <cols>
    <col min="7" max="7" width="12" customWidth="1"/>
    <col min="8" max="8" width="13.28515625" customWidth="1"/>
  </cols>
  <sheetData>
    <row r="2" spans="7:19" ht="15.75" thickBot="1" x14ac:dyDescent="0.3"/>
    <row r="3" spans="7:19" x14ac:dyDescent="0.25">
      <c r="G3" s="72" t="s">
        <v>2</v>
      </c>
      <c r="H3" s="73"/>
      <c r="I3" s="73"/>
      <c r="J3" s="74"/>
      <c r="K3" s="83" t="s">
        <v>5</v>
      </c>
      <c r="L3" s="84"/>
      <c r="M3" s="72" t="s">
        <v>3</v>
      </c>
      <c r="N3" s="73"/>
      <c r="O3" s="73"/>
      <c r="P3" s="74"/>
    </row>
    <row r="4" spans="7:19" x14ac:dyDescent="0.25">
      <c r="G4" s="75" t="s">
        <v>0</v>
      </c>
      <c r="H4" s="76"/>
      <c r="I4" s="81" t="s">
        <v>1</v>
      </c>
      <c r="J4" s="82"/>
      <c r="K4" s="85"/>
      <c r="L4" s="86"/>
      <c r="M4" s="75" t="s">
        <v>0</v>
      </c>
      <c r="N4" s="76"/>
      <c r="O4" s="81" t="s">
        <v>1</v>
      </c>
      <c r="P4" s="82"/>
    </row>
    <row r="5" spans="7:19" x14ac:dyDescent="0.25">
      <c r="G5" s="10">
        <v>0.33333333333333331</v>
      </c>
      <c r="H5" s="15" t="s">
        <v>29</v>
      </c>
      <c r="I5" s="77">
        <v>0.45833333333333331</v>
      </c>
      <c r="J5" s="78"/>
      <c r="K5" s="85"/>
      <c r="L5" s="86"/>
      <c r="M5" s="10">
        <v>0.6875</v>
      </c>
      <c r="N5" s="2"/>
      <c r="O5" s="77">
        <v>0.69444444444444442</v>
      </c>
      <c r="P5" s="78"/>
    </row>
    <row r="6" spans="7:19" x14ac:dyDescent="0.25">
      <c r="G6" s="10">
        <v>0.35416666666666669</v>
      </c>
      <c r="H6" s="15" t="s">
        <v>33</v>
      </c>
      <c r="I6" s="77">
        <v>0.47916666666666669</v>
      </c>
      <c r="J6" s="78"/>
      <c r="K6" s="85"/>
      <c r="L6" s="86"/>
      <c r="M6" s="10">
        <v>0.69444444444444442</v>
      </c>
      <c r="N6" s="2"/>
      <c r="O6" s="77">
        <v>0.70138888888888895</v>
      </c>
      <c r="P6" s="78"/>
    </row>
    <row r="7" spans="7:19" x14ac:dyDescent="0.25">
      <c r="G7" s="10">
        <v>0.375</v>
      </c>
      <c r="H7" s="15" t="s">
        <v>34</v>
      </c>
      <c r="I7" s="77">
        <v>0.5</v>
      </c>
      <c r="J7" s="78"/>
      <c r="K7" s="85"/>
      <c r="L7" s="86"/>
      <c r="M7" s="10">
        <v>0.70138888888888895</v>
      </c>
      <c r="N7" s="2"/>
      <c r="O7" s="77">
        <v>0.70833333333333304</v>
      </c>
      <c r="P7" s="78"/>
    </row>
    <row r="8" spans="7:19" x14ac:dyDescent="0.25">
      <c r="G8" s="10">
        <v>0.39583333333333298</v>
      </c>
      <c r="H8" s="15" t="s">
        <v>35</v>
      </c>
      <c r="I8" s="77">
        <v>0.52083333333333304</v>
      </c>
      <c r="J8" s="78"/>
      <c r="K8" s="85"/>
      <c r="L8" s="86"/>
      <c r="M8" s="10">
        <v>0.70833333333333304</v>
      </c>
      <c r="N8" s="2"/>
      <c r="O8" s="77">
        <v>0.71527777777777801</v>
      </c>
      <c r="P8" s="78"/>
    </row>
    <row r="9" spans="7:19" x14ac:dyDescent="0.25">
      <c r="G9" s="10">
        <v>0.41666666666666702</v>
      </c>
      <c r="H9" s="15" t="s">
        <v>30</v>
      </c>
      <c r="I9" s="77">
        <v>0.54166666666666696</v>
      </c>
      <c r="J9" s="78"/>
      <c r="K9" s="85"/>
      <c r="L9" s="86"/>
      <c r="M9" s="10">
        <v>0.71527777777777801</v>
      </c>
      <c r="N9" s="2"/>
      <c r="O9" s="77">
        <v>0.72222222222222299</v>
      </c>
      <c r="P9" s="78"/>
    </row>
    <row r="10" spans="7:19" ht="15.75" thickBot="1" x14ac:dyDescent="0.3">
      <c r="G10" s="10">
        <v>0.4375</v>
      </c>
      <c r="H10" s="15" t="s">
        <v>36</v>
      </c>
      <c r="I10" s="77">
        <v>0.5625</v>
      </c>
      <c r="J10" s="78"/>
      <c r="K10" s="85"/>
      <c r="L10" s="86"/>
      <c r="M10" s="10">
        <v>0.72222222222222199</v>
      </c>
      <c r="N10" s="8"/>
      <c r="O10" s="77">
        <v>0.72916666666666696</v>
      </c>
      <c r="P10" s="78"/>
    </row>
    <row r="11" spans="7:19" x14ac:dyDescent="0.25">
      <c r="G11" s="10">
        <v>0.45833333333333298</v>
      </c>
      <c r="H11" s="15" t="s">
        <v>37</v>
      </c>
      <c r="I11" s="77">
        <v>0.58333333333333304</v>
      </c>
      <c r="J11" s="78"/>
      <c r="K11" s="85"/>
      <c r="L11" s="85"/>
      <c r="M11" s="12">
        <v>0.5</v>
      </c>
      <c r="N11" s="9"/>
      <c r="O11" s="97">
        <v>0.50694444444444442</v>
      </c>
      <c r="P11" s="98"/>
      <c r="Q11" s="88" t="s">
        <v>4</v>
      </c>
      <c r="R11" s="89"/>
      <c r="S11" s="90"/>
    </row>
    <row r="12" spans="7:19" x14ac:dyDescent="0.25">
      <c r="G12" s="10">
        <v>0.47916666666666702</v>
      </c>
      <c r="H12" s="15" t="s">
        <v>31</v>
      </c>
      <c r="I12" s="77">
        <v>0.60416666666666696</v>
      </c>
      <c r="J12" s="78"/>
      <c r="K12" s="85"/>
      <c r="L12" s="85"/>
      <c r="M12" s="13">
        <v>0.50694444444444442</v>
      </c>
      <c r="N12" s="6"/>
      <c r="O12" s="99">
        <v>0.51388888888888884</v>
      </c>
      <c r="P12" s="100"/>
      <c r="Q12" s="91"/>
      <c r="R12" s="92"/>
      <c r="S12" s="93"/>
    </row>
    <row r="13" spans="7:19" x14ac:dyDescent="0.25">
      <c r="G13" s="10">
        <v>0.5</v>
      </c>
      <c r="H13" s="15" t="s">
        <v>38</v>
      </c>
      <c r="I13" s="77">
        <v>0.625</v>
      </c>
      <c r="J13" s="78"/>
      <c r="K13" s="85"/>
      <c r="L13" s="85"/>
      <c r="M13" s="13">
        <v>0.51388888888888895</v>
      </c>
      <c r="N13" s="6"/>
      <c r="O13" s="99">
        <v>0.52083333333333304</v>
      </c>
      <c r="P13" s="100"/>
      <c r="Q13" s="91"/>
      <c r="R13" s="92"/>
      <c r="S13" s="93"/>
    </row>
    <row r="14" spans="7:19" ht="15.75" thickBot="1" x14ac:dyDescent="0.3">
      <c r="G14" s="11">
        <v>0.52083333333333304</v>
      </c>
      <c r="H14" s="3" t="s">
        <v>32</v>
      </c>
      <c r="I14" s="79">
        <v>0.64583333333333304</v>
      </c>
      <c r="J14" s="80"/>
      <c r="K14" s="87"/>
      <c r="L14" s="87"/>
      <c r="M14" s="14">
        <v>0.52083333333333304</v>
      </c>
      <c r="N14" s="7"/>
      <c r="O14" s="101">
        <v>0.52777777777777801</v>
      </c>
      <c r="P14" s="102"/>
      <c r="Q14" s="94"/>
      <c r="R14" s="95"/>
      <c r="S14" s="96"/>
    </row>
    <row r="15" spans="7:19" x14ac:dyDescent="0.25">
      <c r="G15" s="4"/>
      <c r="H15" s="4"/>
      <c r="I15" s="4"/>
    </row>
    <row r="16" spans="7:19" x14ac:dyDescent="0.25">
      <c r="G16" s="5"/>
      <c r="H16" s="5"/>
      <c r="I16" s="5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</sheetData>
  <mergeCells count="28">
    <mergeCell ref="Q11:S14"/>
    <mergeCell ref="O11:P11"/>
    <mergeCell ref="O12:P12"/>
    <mergeCell ref="O13:P13"/>
    <mergeCell ref="O14:P14"/>
    <mergeCell ref="K3:L14"/>
    <mergeCell ref="M3:P3"/>
    <mergeCell ref="M4:N4"/>
    <mergeCell ref="O4:P4"/>
    <mergeCell ref="O5:P5"/>
    <mergeCell ref="O6:P6"/>
    <mergeCell ref="O7:P7"/>
    <mergeCell ref="O8:P8"/>
    <mergeCell ref="O9:P9"/>
    <mergeCell ref="O10:P10"/>
    <mergeCell ref="I11:J11"/>
    <mergeCell ref="I12:J12"/>
    <mergeCell ref="I13:J13"/>
    <mergeCell ref="I14:J14"/>
    <mergeCell ref="I4:J4"/>
    <mergeCell ref="I8:J8"/>
    <mergeCell ref="I9:J9"/>
    <mergeCell ref="I10:J10"/>
    <mergeCell ref="G3:J3"/>
    <mergeCell ref="G4:H4"/>
    <mergeCell ref="I5:J5"/>
    <mergeCell ref="I6:J6"/>
    <mergeCell ref="I7:J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E61C-FD5E-43F7-9ED9-65F9920BF664}">
  <sheetPr>
    <pageSetUpPr fitToPage="1"/>
  </sheetPr>
  <dimension ref="A1:AA30"/>
  <sheetViews>
    <sheetView tabSelected="1" topLeftCell="M1" workbookViewId="0">
      <selection activeCell="W41" sqref="W41"/>
    </sheetView>
  </sheetViews>
  <sheetFormatPr defaultRowHeight="15" x14ac:dyDescent="0.25"/>
  <cols>
    <col min="1" max="1" width="4" customWidth="1"/>
    <col min="2" max="2" width="18" customWidth="1"/>
    <col min="3" max="3" width="16.42578125" customWidth="1"/>
    <col min="4" max="4" width="17" customWidth="1"/>
    <col min="5" max="5" width="20.85546875" customWidth="1"/>
    <col min="6" max="6" width="17.7109375" customWidth="1"/>
    <col min="7" max="8" width="17.42578125" customWidth="1"/>
    <col min="9" max="9" width="11.5703125" customWidth="1"/>
    <col min="10" max="19" width="17.42578125" customWidth="1"/>
    <col min="20" max="20" width="20.7109375" customWidth="1"/>
    <col min="21" max="23" width="23.5703125" customWidth="1"/>
    <col min="24" max="25" width="15.7109375" customWidth="1"/>
    <col min="26" max="26" width="16.85546875" customWidth="1"/>
    <col min="27" max="27" width="18.5703125" customWidth="1"/>
  </cols>
  <sheetData>
    <row r="1" spans="1:27" ht="15.75" thickBot="1" x14ac:dyDescent="0.3"/>
    <row r="2" spans="1:27" x14ac:dyDescent="0.25">
      <c r="C2" s="103" t="s">
        <v>21</v>
      </c>
      <c r="D2" s="104"/>
      <c r="E2" s="105"/>
      <c r="F2" s="118" t="s">
        <v>18</v>
      </c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0"/>
      <c r="T2" s="109" t="s">
        <v>22</v>
      </c>
      <c r="U2" s="110"/>
      <c r="V2" s="110"/>
      <c r="W2" s="111"/>
      <c r="X2" s="103" t="s">
        <v>19</v>
      </c>
      <c r="Y2" s="105"/>
      <c r="Z2" s="103" t="s">
        <v>27</v>
      </c>
      <c r="AA2" s="105"/>
    </row>
    <row r="3" spans="1:27" ht="15.75" thickBot="1" x14ac:dyDescent="0.3">
      <c r="C3" s="106"/>
      <c r="D3" s="107"/>
      <c r="E3" s="108"/>
      <c r="F3" s="115" t="s">
        <v>9</v>
      </c>
      <c r="G3" s="116"/>
      <c r="H3" s="116" t="s">
        <v>10</v>
      </c>
      <c r="I3" s="116"/>
      <c r="J3" s="116" t="s">
        <v>11</v>
      </c>
      <c r="K3" s="116"/>
      <c r="L3" s="116" t="s">
        <v>12</v>
      </c>
      <c r="M3" s="116"/>
      <c r="N3" s="116" t="s">
        <v>13</v>
      </c>
      <c r="O3" s="116"/>
      <c r="P3" s="116" t="s">
        <v>14</v>
      </c>
      <c r="Q3" s="116"/>
      <c r="R3" s="116" t="s">
        <v>15</v>
      </c>
      <c r="S3" s="117"/>
      <c r="T3" s="112"/>
      <c r="U3" s="113"/>
      <c r="V3" s="113"/>
      <c r="W3" s="114"/>
      <c r="X3" s="106"/>
      <c r="Y3" s="108"/>
      <c r="Z3" s="106"/>
      <c r="AA3" s="108"/>
    </row>
    <row r="4" spans="1:27" ht="30.75" thickBot="1" x14ac:dyDescent="0.3">
      <c r="A4" s="20"/>
      <c r="B4" s="31" t="s">
        <v>28</v>
      </c>
      <c r="C4" s="46" t="s">
        <v>6</v>
      </c>
      <c r="D4" s="47" t="s">
        <v>7</v>
      </c>
      <c r="E4" s="48" t="s">
        <v>8</v>
      </c>
      <c r="F4" s="49" t="s">
        <v>16</v>
      </c>
      <c r="G4" s="50" t="s">
        <v>17</v>
      </c>
      <c r="H4" s="51" t="s">
        <v>16</v>
      </c>
      <c r="I4" s="50" t="s">
        <v>17</v>
      </c>
      <c r="J4" s="51" t="s">
        <v>16</v>
      </c>
      <c r="K4" s="50" t="s">
        <v>17</v>
      </c>
      <c r="L4" s="51" t="s">
        <v>16</v>
      </c>
      <c r="M4" s="50" t="s">
        <v>17</v>
      </c>
      <c r="N4" s="51" t="s">
        <v>16</v>
      </c>
      <c r="O4" s="50" t="s">
        <v>17</v>
      </c>
      <c r="P4" s="51" t="s">
        <v>16</v>
      </c>
      <c r="Q4" s="50" t="s">
        <v>17</v>
      </c>
      <c r="R4" s="51" t="s">
        <v>16</v>
      </c>
      <c r="S4" s="48" t="s">
        <v>17</v>
      </c>
      <c r="T4" s="52" t="s">
        <v>25</v>
      </c>
      <c r="U4" s="53" t="s">
        <v>23</v>
      </c>
      <c r="V4" s="53" t="s">
        <v>24</v>
      </c>
      <c r="W4" s="54" t="s">
        <v>26</v>
      </c>
      <c r="X4" s="49" t="s">
        <v>20</v>
      </c>
      <c r="Y4" s="48" t="s">
        <v>17</v>
      </c>
      <c r="Z4" s="55" t="s">
        <v>24</v>
      </c>
      <c r="AA4" s="54" t="s">
        <v>27</v>
      </c>
    </row>
    <row r="5" spans="1:27" x14ac:dyDescent="0.25">
      <c r="B5" s="56" t="s">
        <v>29</v>
      </c>
      <c r="C5" s="57">
        <v>0.33333333333333331</v>
      </c>
      <c r="D5" s="58">
        <v>0.38750000000000001</v>
      </c>
      <c r="E5" s="59">
        <v>5.3819444444444448E-2</v>
      </c>
      <c r="F5" s="60">
        <v>50</v>
      </c>
      <c r="G5" s="61">
        <f>100-F5</f>
        <v>50</v>
      </c>
      <c r="H5" s="62">
        <f>100-H16</f>
        <v>95</v>
      </c>
      <c r="I5" s="61">
        <f t="shared" ref="I5" si="0">100-H5</f>
        <v>5</v>
      </c>
      <c r="J5" s="62">
        <f>100-J16</f>
        <v>98</v>
      </c>
      <c r="K5" s="61">
        <f t="shared" ref="K5" si="1">100-J5</f>
        <v>2</v>
      </c>
      <c r="L5" s="62">
        <v>100</v>
      </c>
      <c r="M5" s="61">
        <f t="shared" ref="M5" si="2">100-L5</f>
        <v>0</v>
      </c>
      <c r="N5" s="62">
        <v>150</v>
      </c>
      <c r="O5" s="61">
        <f>300-N5</f>
        <v>150</v>
      </c>
      <c r="P5" s="62">
        <v>280</v>
      </c>
      <c r="Q5" s="61">
        <f>300-P5</f>
        <v>20</v>
      </c>
      <c r="R5" s="62">
        <v>161</v>
      </c>
      <c r="S5" s="63">
        <f>300-R5</f>
        <v>139</v>
      </c>
      <c r="T5" s="64">
        <f>SUM(S5,Q5,O5,M5,K5,I5,G5)</f>
        <v>366</v>
      </c>
      <c r="U5" s="65">
        <f>TIME(0,0,T5*4)</f>
        <v>1.6944444444444446E-2</v>
      </c>
      <c r="V5" s="65">
        <f>E5+U5</f>
        <v>7.076388888888889E-2</v>
      </c>
      <c r="W5" s="69">
        <f t="shared" ref="W5:W14" si="3">RANK(V5,$V$5:$V$14,1)</f>
        <v>8</v>
      </c>
      <c r="X5" s="66">
        <v>5.0231481481481481E-3</v>
      </c>
      <c r="Y5" s="67">
        <v>16</v>
      </c>
      <c r="Z5" s="68">
        <f>V5+X5+(TIME(0,0,Y5))</f>
        <v>7.5972222222222233E-2</v>
      </c>
      <c r="AA5" s="121">
        <f t="shared" ref="AA5:AA14" si="4">RANK(Z5,$Z$5:$Z$14,1)</f>
        <v>7</v>
      </c>
    </row>
    <row r="6" spans="1:27" x14ac:dyDescent="0.25">
      <c r="B6" s="41" t="s">
        <v>33</v>
      </c>
      <c r="C6" s="21">
        <v>0.35347222222222224</v>
      </c>
      <c r="D6" s="19">
        <v>0.39861111111111114</v>
      </c>
      <c r="E6" s="22">
        <f t="shared" ref="E6:E10" si="5">D6-C6</f>
        <v>4.5138888888888895E-2</v>
      </c>
      <c r="F6" s="26">
        <v>90</v>
      </c>
      <c r="G6" s="17">
        <f t="shared" ref="G6:G14" si="6">100-F6</f>
        <v>10</v>
      </c>
      <c r="H6" s="18">
        <f t="shared" ref="H6:H14" si="7">100-H17</f>
        <v>97</v>
      </c>
      <c r="I6" s="17">
        <f t="shared" ref="I6" si="8">100-H6</f>
        <v>3</v>
      </c>
      <c r="J6" s="18">
        <f t="shared" ref="J6:J14" si="9">100-J17</f>
        <v>97</v>
      </c>
      <c r="K6" s="17">
        <f t="shared" ref="K6" si="10">100-J6</f>
        <v>3</v>
      </c>
      <c r="L6" s="18">
        <v>95</v>
      </c>
      <c r="M6" s="17">
        <f t="shared" ref="M6" si="11">100-L6</f>
        <v>5</v>
      </c>
      <c r="N6" s="18">
        <v>250</v>
      </c>
      <c r="O6" s="17">
        <f t="shared" ref="O6:O14" si="12">300-N6</f>
        <v>50</v>
      </c>
      <c r="P6" s="18">
        <v>300</v>
      </c>
      <c r="Q6" s="17">
        <f t="shared" ref="Q6:Q14" si="13">300-P6</f>
        <v>0</v>
      </c>
      <c r="R6" s="18">
        <v>138</v>
      </c>
      <c r="S6" s="27">
        <f t="shared" ref="S6:S14" si="14">300-R6</f>
        <v>162</v>
      </c>
      <c r="T6" s="32">
        <f>SUM(S6,Q6,O6,M6,K6,I6,G6)</f>
        <v>233</v>
      </c>
      <c r="U6" s="16">
        <f t="shared" ref="U6:U14" si="15">TIME(0,0,T6*4)</f>
        <v>1.0787037037037038E-2</v>
      </c>
      <c r="V6" s="16">
        <f t="shared" ref="V6:V14" si="16">E6+U6</f>
        <v>5.5925925925925934E-2</v>
      </c>
      <c r="W6" s="70">
        <f t="shared" si="3"/>
        <v>2</v>
      </c>
      <c r="X6" s="35"/>
      <c r="Y6" s="36"/>
      <c r="Z6" s="39">
        <f t="shared" ref="Z6:Z14" si="17">V6+X6+(TIME(0,0,Y6))</f>
        <v>5.5925925925925934E-2</v>
      </c>
      <c r="AA6" s="122">
        <f t="shared" si="4"/>
        <v>2</v>
      </c>
    </row>
    <row r="7" spans="1:27" x14ac:dyDescent="0.25">
      <c r="B7" s="41" t="s">
        <v>34</v>
      </c>
      <c r="C7" s="21">
        <v>0.37361111111111112</v>
      </c>
      <c r="D7" s="19">
        <v>0.43819444444444444</v>
      </c>
      <c r="E7" s="22">
        <f t="shared" si="5"/>
        <v>6.4583333333333326E-2</v>
      </c>
      <c r="F7" s="26">
        <v>60</v>
      </c>
      <c r="G7" s="17">
        <f t="shared" si="6"/>
        <v>40</v>
      </c>
      <c r="H7" s="18">
        <f t="shared" si="7"/>
        <v>94</v>
      </c>
      <c r="I7" s="17">
        <f t="shared" ref="I7" si="18">100-H7</f>
        <v>6</v>
      </c>
      <c r="J7" s="18">
        <f t="shared" si="9"/>
        <v>96</v>
      </c>
      <c r="K7" s="17">
        <f t="shared" ref="K7" si="19">100-J7</f>
        <v>4</v>
      </c>
      <c r="L7" s="18">
        <v>100</v>
      </c>
      <c r="M7" s="17">
        <f t="shared" ref="M7" si="20">100-L7</f>
        <v>0</v>
      </c>
      <c r="N7" s="18">
        <v>175</v>
      </c>
      <c r="O7" s="17">
        <f t="shared" si="12"/>
        <v>125</v>
      </c>
      <c r="P7" s="18">
        <v>300</v>
      </c>
      <c r="Q7" s="17">
        <f t="shared" si="13"/>
        <v>0</v>
      </c>
      <c r="R7" s="18">
        <v>161</v>
      </c>
      <c r="S7" s="27">
        <f t="shared" si="14"/>
        <v>139</v>
      </c>
      <c r="T7" s="32">
        <f t="shared" ref="T7:T14" si="21">SUM(S7,Q7,O7,M7,K7,I7,G7)</f>
        <v>314</v>
      </c>
      <c r="U7" s="16">
        <f t="shared" si="15"/>
        <v>1.4537037037037038E-2</v>
      </c>
      <c r="V7" s="16">
        <f t="shared" si="16"/>
        <v>7.9120370370370369E-2</v>
      </c>
      <c r="W7" s="70">
        <f t="shared" si="3"/>
        <v>10</v>
      </c>
      <c r="X7" s="35">
        <v>4.8726851851851848E-3</v>
      </c>
      <c r="Y7" s="36">
        <v>12</v>
      </c>
      <c r="Z7" s="39">
        <f t="shared" si="17"/>
        <v>8.413194444444444E-2</v>
      </c>
      <c r="AA7" s="122">
        <f t="shared" si="4"/>
        <v>10</v>
      </c>
    </row>
    <row r="8" spans="1:27" x14ac:dyDescent="0.25">
      <c r="B8" s="41" t="s">
        <v>35</v>
      </c>
      <c r="C8" s="21">
        <v>0.39513888888888887</v>
      </c>
      <c r="D8" s="19">
        <v>0.4513888888888889</v>
      </c>
      <c r="E8" s="22">
        <f t="shared" si="5"/>
        <v>5.6250000000000022E-2</v>
      </c>
      <c r="F8" s="26">
        <v>80</v>
      </c>
      <c r="G8" s="17">
        <f t="shared" si="6"/>
        <v>20</v>
      </c>
      <c r="H8" s="18">
        <f t="shared" si="7"/>
        <v>98</v>
      </c>
      <c r="I8" s="17">
        <f t="shared" ref="I8" si="22">100-H8</f>
        <v>2</v>
      </c>
      <c r="J8" s="18">
        <f t="shared" si="9"/>
        <v>97</v>
      </c>
      <c r="K8" s="17">
        <f t="shared" ref="K8" si="23">100-J8</f>
        <v>3</v>
      </c>
      <c r="L8" s="18">
        <v>100</v>
      </c>
      <c r="M8" s="17">
        <f t="shared" ref="M8" si="24">100-L8</f>
        <v>0</v>
      </c>
      <c r="N8" s="18">
        <v>250</v>
      </c>
      <c r="O8" s="17">
        <f t="shared" si="12"/>
        <v>50</v>
      </c>
      <c r="P8" s="18">
        <v>270</v>
      </c>
      <c r="Q8" s="17">
        <f t="shared" si="13"/>
        <v>30</v>
      </c>
      <c r="R8" s="18">
        <v>114</v>
      </c>
      <c r="S8" s="27">
        <f t="shared" si="14"/>
        <v>186</v>
      </c>
      <c r="T8" s="32">
        <f t="shared" si="21"/>
        <v>291</v>
      </c>
      <c r="U8" s="16">
        <f t="shared" si="15"/>
        <v>1.3472222222222222E-2</v>
      </c>
      <c r="V8" s="16">
        <f t="shared" si="16"/>
        <v>6.9722222222222241E-2</v>
      </c>
      <c r="W8" s="70">
        <f t="shared" si="3"/>
        <v>6</v>
      </c>
      <c r="X8" s="35">
        <v>4.8958333333333336E-3</v>
      </c>
      <c r="Y8" s="36">
        <v>4</v>
      </c>
      <c r="Z8" s="39">
        <f t="shared" si="17"/>
        <v>7.4664351851851871E-2</v>
      </c>
      <c r="AA8" s="122">
        <f t="shared" si="4"/>
        <v>6</v>
      </c>
    </row>
    <row r="9" spans="1:27" x14ac:dyDescent="0.25">
      <c r="B9" s="41" t="s">
        <v>30</v>
      </c>
      <c r="C9" s="21">
        <v>0.41597222222222224</v>
      </c>
      <c r="D9" s="19">
        <v>0.47361111111111109</v>
      </c>
      <c r="E9" s="22">
        <f t="shared" si="5"/>
        <v>5.7638888888888851E-2</v>
      </c>
      <c r="F9" s="26">
        <v>60</v>
      </c>
      <c r="G9" s="17">
        <f t="shared" si="6"/>
        <v>40</v>
      </c>
      <c r="H9" s="18">
        <f t="shared" si="7"/>
        <v>99</v>
      </c>
      <c r="I9" s="17">
        <f t="shared" ref="I9" si="25">100-H9</f>
        <v>1</v>
      </c>
      <c r="J9" s="18">
        <f t="shared" si="9"/>
        <v>97</v>
      </c>
      <c r="K9" s="17">
        <f t="shared" ref="K9" si="26">100-J9</f>
        <v>3</v>
      </c>
      <c r="L9" s="18">
        <v>100</v>
      </c>
      <c r="M9" s="17">
        <f t="shared" ref="M9" si="27">100-L9</f>
        <v>0</v>
      </c>
      <c r="N9" s="18">
        <v>250</v>
      </c>
      <c r="O9" s="17">
        <f t="shared" si="12"/>
        <v>50</v>
      </c>
      <c r="P9" s="18">
        <v>270</v>
      </c>
      <c r="Q9" s="17">
        <f t="shared" si="13"/>
        <v>30</v>
      </c>
      <c r="R9" s="18">
        <v>154</v>
      </c>
      <c r="S9" s="27">
        <f t="shared" si="14"/>
        <v>146</v>
      </c>
      <c r="T9" s="32">
        <f t="shared" si="21"/>
        <v>270</v>
      </c>
      <c r="U9" s="16">
        <f>TIME(0,0,T9*4)</f>
        <v>1.2500000000000001E-2</v>
      </c>
      <c r="V9" s="16">
        <f t="shared" si="16"/>
        <v>7.0138888888888848E-2</v>
      </c>
      <c r="W9" s="70">
        <f t="shared" si="3"/>
        <v>7</v>
      </c>
      <c r="X9" s="35">
        <v>6.3541666666666668E-3</v>
      </c>
      <c r="Y9" s="36">
        <v>4</v>
      </c>
      <c r="Z9" s="39">
        <f t="shared" si="17"/>
        <v>7.6539351851851803E-2</v>
      </c>
      <c r="AA9" s="122">
        <f t="shared" si="4"/>
        <v>8</v>
      </c>
    </row>
    <row r="10" spans="1:27" x14ac:dyDescent="0.25">
      <c r="B10" s="41" t="s">
        <v>36</v>
      </c>
      <c r="C10" s="21">
        <v>0.43611111111111112</v>
      </c>
      <c r="D10" s="19">
        <v>0.48472222222222222</v>
      </c>
      <c r="E10" s="22">
        <f t="shared" si="5"/>
        <v>4.8611111111111105E-2</v>
      </c>
      <c r="F10" s="26">
        <v>90</v>
      </c>
      <c r="G10" s="17">
        <f t="shared" si="6"/>
        <v>10</v>
      </c>
      <c r="H10" s="18">
        <f t="shared" si="7"/>
        <v>98</v>
      </c>
      <c r="I10" s="17">
        <f t="shared" ref="I10" si="28">100-H10</f>
        <v>2</v>
      </c>
      <c r="J10" s="18">
        <f t="shared" si="9"/>
        <v>97</v>
      </c>
      <c r="K10" s="17">
        <f t="shared" ref="K10" si="29">100-J10</f>
        <v>3</v>
      </c>
      <c r="L10" s="18">
        <v>100</v>
      </c>
      <c r="M10" s="17">
        <f t="shared" ref="M10" si="30">100-L10</f>
        <v>0</v>
      </c>
      <c r="N10" s="18">
        <v>275</v>
      </c>
      <c r="O10" s="17">
        <f t="shared" si="12"/>
        <v>25</v>
      </c>
      <c r="P10" s="18">
        <v>300</v>
      </c>
      <c r="Q10" s="17">
        <f t="shared" si="13"/>
        <v>0</v>
      </c>
      <c r="R10" s="18">
        <v>164</v>
      </c>
      <c r="S10" s="27">
        <f t="shared" si="14"/>
        <v>136</v>
      </c>
      <c r="T10" s="32">
        <f t="shared" si="21"/>
        <v>176</v>
      </c>
      <c r="U10" s="16">
        <f t="shared" si="15"/>
        <v>8.1481481481481474E-3</v>
      </c>
      <c r="V10" s="16">
        <f t="shared" si="16"/>
        <v>5.6759259259259252E-2</v>
      </c>
      <c r="W10" s="70">
        <f t="shared" si="3"/>
        <v>3</v>
      </c>
      <c r="X10" s="35">
        <v>5.0115740740740737E-3</v>
      </c>
      <c r="Y10" s="36">
        <v>8</v>
      </c>
      <c r="Z10" s="39">
        <f t="shared" si="17"/>
        <v>6.1863425925925919E-2</v>
      </c>
      <c r="AA10" s="122">
        <f t="shared" si="4"/>
        <v>3</v>
      </c>
    </row>
    <row r="11" spans="1:27" x14ac:dyDescent="0.25">
      <c r="B11" s="41" t="s">
        <v>37</v>
      </c>
      <c r="C11" s="21">
        <v>0.45763888888888887</v>
      </c>
      <c r="D11" s="43">
        <v>0.54722222222222228</v>
      </c>
      <c r="E11" s="22">
        <v>6.458333333333334E-2</v>
      </c>
      <c r="F11" s="26">
        <v>75</v>
      </c>
      <c r="G11" s="17">
        <f t="shared" si="6"/>
        <v>25</v>
      </c>
      <c r="H11" s="18">
        <f t="shared" si="7"/>
        <v>99</v>
      </c>
      <c r="I11" s="17">
        <f t="shared" ref="I11" si="31">100-H11</f>
        <v>1</v>
      </c>
      <c r="J11" s="18">
        <f t="shared" si="9"/>
        <v>96</v>
      </c>
      <c r="K11" s="17">
        <f t="shared" ref="K11" si="32">100-J11</f>
        <v>4</v>
      </c>
      <c r="L11" s="18">
        <v>95</v>
      </c>
      <c r="M11" s="17">
        <f t="shared" ref="M11" si="33">100-L11</f>
        <v>5</v>
      </c>
      <c r="N11" s="18">
        <v>275</v>
      </c>
      <c r="O11" s="17">
        <f t="shared" si="12"/>
        <v>25</v>
      </c>
      <c r="P11" s="18">
        <v>300</v>
      </c>
      <c r="Q11" s="17">
        <f t="shared" si="13"/>
        <v>0</v>
      </c>
      <c r="R11" s="18">
        <v>153</v>
      </c>
      <c r="S11" s="27">
        <f t="shared" si="14"/>
        <v>147</v>
      </c>
      <c r="T11" s="32">
        <f t="shared" si="21"/>
        <v>207</v>
      </c>
      <c r="U11" s="16">
        <f t="shared" si="15"/>
        <v>9.5833333333333326E-3</v>
      </c>
      <c r="V11" s="16">
        <f t="shared" si="16"/>
        <v>7.4166666666666672E-2</v>
      </c>
      <c r="W11" s="70">
        <f t="shared" si="3"/>
        <v>9</v>
      </c>
      <c r="X11" s="35">
        <v>6.0416666666666665E-3</v>
      </c>
      <c r="Y11" s="36">
        <v>16</v>
      </c>
      <c r="Z11" s="39">
        <f t="shared" si="17"/>
        <v>8.0393518518518531E-2</v>
      </c>
      <c r="AA11" s="122">
        <f t="shared" si="4"/>
        <v>9</v>
      </c>
    </row>
    <row r="12" spans="1:27" x14ac:dyDescent="0.25">
      <c r="B12" s="41" t="s">
        <v>31</v>
      </c>
      <c r="C12" s="21">
        <v>0.52013888888888893</v>
      </c>
      <c r="D12" s="43">
        <v>0.58194444444444449</v>
      </c>
      <c r="E12" s="22">
        <v>5.4166666666666669E-2</v>
      </c>
      <c r="F12" s="26">
        <v>85</v>
      </c>
      <c r="G12" s="17">
        <f t="shared" si="6"/>
        <v>15</v>
      </c>
      <c r="H12" s="18">
        <f t="shared" si="7"/>
        <v>97</v>
      </c>
      <c r="I12" s="17">
        <f t="shared" ref="I12" si="34">100-H12</f>
        <v>3</v>
      </c>
      <c r="J12" s="18">
        <v>96</v>
      </c>
      <c r="K12" s="17">
        <f t="shared" ref="K12" si="35">100-J12</f>
        <v>4</v>
      </c>
      <c r="L12" s="18">
        <v>100</v>
      </c>
      <c r="M12" s="17">
        <f t="shared" ref="M12" si="36">100-L12</f>
        <v>0</v>
      </c>
      <c r="N12" s="18">
        <v>250</v>
      </c>
      <c r="O12" s="17">
        <f t="shared" si="12"/>
        <v>50</v>
      </c>
      <c r="P12" s="18">
        <v>290</v>
      </c>
      <c r="Q12" s="17">
        <f t="shared" si="13"/>
        <v>10</v>
      </c>
      <c r="R12" s="18">
        <v>154</v>
      </c>
      <c r="S12" s="27">
        <f t="shared" si="14"/>
        <v>146</v>
      </c>
      <c r="T12" s="32">
        <f t="shared" si="21"/>
        <v>228</v>
      </c>
      <c r="U12" s="16">
        <f t="shared" si="15"/>
        <v>1.0555555555555556E-2</v>
      </c>
      <c r="V12" s="16">
        <f t="shared" si="16"/>
        <v>6.4722222222222223E-2</v>
      </c>
      <c r="W12" s="70">
        <f t="shared" si="3"/>
        <v>4</v>
      </c>
      <c r="X12" s="35"/>
      <c r="Y12" s="36"/>
      <c r="Z12" s="39">
        <f t="shared" si="17"/>
        <v>6.4722222222222223E-2</v>
      </c>
      <c r="AA12" s="122">
        <f t="shared" si="4"/>
        <v>4</v>
      </c>
    </row>
    <row r="13" spans="1:27" x14ac:dyDescent="0.25">
      <c r="B13" s="41" t="s">
        <v>38</v>
      </c>
      <c r="C13" s="21">
        <v>0.5625</v>
      </c>
      <c r="D13" s="43">
        <v>0.59513888888888888</v>
      </c>
      <c r="E13" s="22">
        <v>4.8611111111111112E-2</v>
      </c>
      <c r="F13" s="26">
        <v>90</v>
      </c>
      <c r="G13" s="17">
        <f t="shared" si="6"/>
        <v>10</v>
      </c>
      <c r="H13" s="18">
        <v>97</v>
      </c>
      <c r="I13" s="17">
        <f t="shared" ref="I13" si="37">100-H13</f>
        <v>3</v>
      </c>
      <c r="J13" s="18">
        <v>96</v>
      </c>
      <c r="K13" s="17">
        <f t="shared" ref="K13" si="38">100-J13</f>
        <v>4</v>
      </c>
      <c r="L13" s="18">
        <v>100</v>
      </c>
      <c r="M13" s="17">
        <f t="shared" ref="M13" si="39">100-L13</f>
        <v>0</v>
      </c>
      <c r="N13" s="18">
        <v>275</v>
      </c>
      <c r="O13" s="17">
        <f t="shared" si="12"/>
        <v>25</v>
      </c>
      <c r="P13" s="18">
        <v>290</v>
      </c>
      <c r="Q13" s="17">
        <f t="shared" si="13"/>
        <v>10</v>
      </c>
      <c r="R13" s="18">
        <v>199</v>
      </c>
      <c r="S13" s="27">
        <f t="shared" si="14"/>
        <v>101</v>
      </c>
      <c r="T13" s="32">
        <f t="shared" si="21"/>
        <v>153</v>
      </c>
      <c r="U13" s="16">
        <f t="shared" si="15"/>
        <v>7.083333333333333E-3</v>
      </c>
      <c r="V13" s="16">
        <f t="shared" si="16"/>
        <v>5.5694444444444442E-2</v>
      </c>
      <c r="W13" s="70">
        <f t="shared" si="3"/>
        <v>1</v>
      </c>
      <c r="X13" s="35"/>
      <c r="Y13" s="36"/>
      <c r="Z13" s="39">
        <f t="shared" si="17"/>
        <v>5.5694444444444442E-2</v>
      </c>
      <c r="AA13" s="122">
        <f t="shared" si="4"/>
        <v>1</v>
      </c>
    </row>
    <row r="14" spans="1:27" ht="15.75" thickBot="1" x14ac:dyDescent="0.3">
      <c r="B14" s="42" t="s">
        <v>32</v>
      </c>
      <c r="C14" s="23">
        <v>0.57013888888888886</v>
      </c>
      <c r="D14" s="44">
        <v>0.62847222222222221</v>
      </c>
      <c r="E14" s="25">
        <v>5.7638888888888892E-2</v>
      </c>
      <c r="F14" s="28">
        <v>85</v>
      </c>
      <c r="G14" s="29">
        <f t="shared" si="6"/>
        <v>15</v>
      </c>
      <c r="H14" s="24">
        <f t="shared" si="7"/>
        <v>96</v>
      </c>
      <c r="I14" s="29">
        <f t="shared" ref="I14" si="40">100-H14</f>
        <v>4</v>
      </c>
      <c r="J14" s="24">
        <f t="shared" si="9"/>
        <v>98</v>
      </c>
      <c r="K14" s="29">
        <f t="shared" ref="K14" si="41">100-J14</f>
        <v>2</v>
      </c>
      <c r="L14" s="24">
        <v>100</v>
      </c>
      <c r="M14" s="29">
        <f t="shared" ref="M14" si="42">100-L14</f>
        <v>0</v>
      </c>
      <c r="N14" s="24">
        <v>225</v>
      </c>
      <c r="O14" s="29">
        <f t="shared" si="12"/>
        <v>75</v>
      </c>
      <c r="P14" s="24">
        <v>300</v>
      </c>
      <c r="Q14" s="29">
        <f t="shared" si="13"/>
        <v>0</v>
      </c>
      <c r="R14" s="24">
        <v>164</v>
      </c>
      <c r="S14" s="30">
        <f t="shared" si="14"/>
        <v>136</v>
      </c>
      <c r="T14" s="33">
        <f t="shared" si="21"/>
        <v>232</v>
      </c>
      <c r="U14" s="34">
        <f t="shared" si="15"/>
        <v>1.074074074074074E-2</v>
      </c>
      <c r="V14" s="34">
        <f t="shared" si="16"/>
        <v>6.8379629629629637E-2</v>
      </c>
      <c r="W14" s="71">
        <f t="shared" si="3"/>
        <v>5</v>
      </c>
      <c r="X14" s="37"/>
      <c r="Y14" s="38"/>
      <c r="Z14" s="40">
        <f t="shared" si="17"/>
        <v>6.8379629629629637E-2</v>
      </c>
      <c r="AA14" s="123">
        <f t="shared" si="4"/>
        <v>5</v>
      </c>
    </row>
    <row r="16" spans="1:27" hidden="1" x14ac:dyDescent="0.25">
      <c r="G16" s="41" t="s">
        <v>29</v>
      </c>
      <c r="H16">
        <v>5</v>
      </c>
      <c r="J16">
        <v>2</v>
      </c>
    </row>
    <row r="17" spans="3:10" hidden="1" x14ac:dyDescent="0.25">
      <c r="G17" s="41" t="s">
        <v>33</v>
      </c>
      <c r="H17">
        <v>3</v>
      </c>
      <c r="J17">
        <v>3</v>
      </c>
    </row>
    <row r="18" spans="3:10" hidden="1" x14ac:dyDescent="0.25">
      <c r="G18" s="41" t="s">
        <v>34</v>
      </c>
      <c r="H18">
        <v>6</v>
      </c>
      <c r="J18">
        <v>4</v>
      </c>
    </row>
    <row r="19" spans="3:10" hidden="1" x14ac:dyDescent="0.25">
      <c r="G19" s="41" t="s">
        <v>35</v>
      </c>
      <c r="H19">
        <v>2</v>
      </c>
      <c r="J19">
        <v>3</v>
      </c>
    </row>
    <row r="20" spans="3:10" hidden="1" x14ac:dyDescent="0.25">
      <c r="C20" s="1"/>
      <c r="G20" s="41" t="s">
        <v>30</v>
      </c>
      <c r="H20">
        <v>1</v>
      </c>
      <c r="J20">
        <v>3</v>
      </c>
    </row>
    <row r="21" spans="3:10" hidden="1" x14ac:dyDescent="0.25">
      <c r="G21" s="41" t="s">
        <v>36</v>
      </c>
      <c r="H21">
        <v>2</v>
      </c>
      <c r="J21">
        <v>3</v>
      </c>
    </row>
    <row r="22" spans="3:10" hidden="1" x14ac:dyDescent="0.25">
      <c r="G22" s="41" t="s">
        <v>37</v>
      </c>
      <c r="H22">
        <v>1</v>
      </c>
      <c r="J22">
        <v>4</v>
      </c>
    </row>
    <row r="23" spans="3:10" hidden="1" x14ac:dyDescent="0.25">
      <c r="G23" s="41" t="s">
        <v>31</v>
      </c>
      <c r="H23">
        <v>3</v>
      </c>
      <c r="J23">
        <v>0</v>
      </c>
    </row>
    <row r="24" spans="3:10" hidden="1" x14ac:dyDescent="0.25">
      <c r="G24" s="41" t="s">
        <v>38</v>
      </c>
      <c r="J24">
        <v>0</v>
      </c>
    </row>
    <row r="25" spans="3:10" ht="15.75" hidden="1" thickBot="1" x14ac:dyDescent="0.3">
      <c r="G25" s="42" t="s">
        <v>32</v>
      </c>
      <c r="H25">
        <v>4</v>
      </c>
      <c r="J25">
        <v>2</v>
      </c>
    </row>
    <row r="29" spans="3:10" x14ac:dyDescent="0.25">
      <c r="G29" s="45"/>
      <c r="H29" s="45"/>
    </row>
    <row r="30" spans="3:10" x14ac:dyDescent="0.25">
      <c r="G30" s="45"/>
      <c r="H30" s="45"/>
    </row>
  </sheetData>
  <mergeCells count="12">
    <mergeCell ref="C2:E3"/>
    <mergeCell ref="X2:Y3"/>
    <mergeCell ref="T2:W3"/>
    <mergeCell ref="Z2:AA3"/>
    <mergeCell ref="F3:G3"/>
    <mergeCell ref="H3:I3"/>
    <mergeCell ref="J3:K3"/>
    <mergeCell ref="L3:M3"/>
    <mergeCell ref="N3:O3"/>
    <mergeCell ref="P3:Q3"/>
    <mergeCell ref="R3:S3"/>
    <mergeCell ref="F2:S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7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 gomes.vjp</dc:creator>
  <cp:lastModifiedBy>ten gomes.vjp</cp:lastModifiedBy>
  <cp:lastPrinted>2026-06-17T17:08:19Z</cp:lastPrinted>
  <dcterms:created xsi:type="dcterms:W3CDTF">2026-06-15T19:51:05Z</dcterms:created>
  <dcterms:modified xsi:type="dcterms:W3CDTF">2026-06-17T17:36:32Z</dcterms:modified>
</cp:coreProperties>
</file>